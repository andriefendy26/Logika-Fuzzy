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US\Desktop\Logika-Fuzzy\"/>
    </mc:Choice>
  </mc:AlternateContent>
  <xr:revisionPtr revIDLastSave="0" documentId="13_ncr:1_{A1FF793A-8D12-4FD6-A1AA-CD930A0DF793}" xr6:coauthVersionLast="47" xr6:coauthVersionMax="47" xr10:uidLastSave="{00000000-0000-0000-0000-000000000000}"/>
  <bookViews>
    <workbookView xWindow="-108" yWindow="-108" windowWidth="23256" windowHeight="12456" activeTab="4" xr2:uid="{D459DB08-8311-47E1-89AC-EB1EC237247E}"/>
  </bookViews>
  <sheets>
    <sheet name="Metode Tsukamoto" sheetId="4" r:id="rId1"/>
    <sheet name="Sheet1" sheetId="6" r:id="rId2"/>
    <sheet name="Metode Sugeno" sheetId="5" r:id="rId3"/>
    <sheet name="Grafik Kurva" sheetId="3" r:id="rId4"/>
    <sheet name="Metode Tsukamoto dan Sugeno" sheetId="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7" i="7" l="1"/>
  <c r="M22" i="7"/>
  <c r="N10" i="7"/>
  <c r="I26" i="5"/>
  <c r="I29" i="5"/>
  <c r="H29" i="5"/>
  <c r="J19" i="4"/>
  <c r="J16" i="4"/>
  <c r="J15" i="4"/>
  <c r="M5" i="4"/>
  <c r="H5" i="4"/>
  <c r="J5" i="4"/>
  <c r="J30" i="4"/>
  <c r="I29" i="4"/>
  <c r="J29" i="4" s="1"/>
  <c r="H30" i="4"/>
  <c r="I25" i="4"/>
  <c r="J25" i="4" s="1"/>
  <c r="I25" i="5"/>
  <c r="I28" i="4"/>
  <c r="J28" i="4" s="1"/>
  <c r="I27" i="4"/>
  <c r="J27" i="4" s="1"/>
  <c r="I26" i="4"/>
  <c r="J26" i="4" s="1"/>
  <c r="I27" i="5"/>
  <c r="N5" i="4"/>
  <c r="O5" i="4"/>
  <c r="I5" i="4"/>
  <c r="N6" i="7"/>
  <c r="M6" i="7"/>
  <c r="L6" i="7"/>
  <c r="M4" i="7"/>
  <c r="L4" i="7"/>
  <c r="N4" i="7"/>
  <c r="N13" i="7" l="1"/>
  <c r="N16" i="7"/>
  <c r="N11" i="7"/>
  <c r="N14" i="7"/>
  <c r="N17" i="7"/>
  <c r="N12" i="7"/>
  <c r="N15" i="7"/>
  <c r="L25" i="7" s="1"/>
  <c r="M25" i="7" s="1"/>
  <c r="N18" i="7"/>
  <c r="J12" i="4"/>
  <c r="J11" i="4"/>
  <c r="J13" i="4"/>
  <c r="H32" i="4"/>
  <c r="J14" i="4"/>
  <c r="J18" i="4"/>
  <c r="J17" i="4"/>
  <c r="L23" i="7" l="1"/>
  <c r="M23" i="7" s="1"/>
  <c r="L22" i="7"/>
  <c r="L24" i="7"/>
  <c r="M24" i="7" s="1"/>
  <c r="L26" i="7" l="1"/>
  <c r="M26" i="7"/>
</calcChain>
</file>

<file path=xl/sharedStrings.xml><?xml version="1.0" encoding="utf-8"?>
<sst xmlns="http://schemas.openxmlformats.org/spreadsheetml/2006/main" count="200" uniqueCount="50">
  <si>
    <t>Tinggi</t>
  </si>
  <si>
    <t>berat</t>
  </si>
  <si>
    <t>tinggi</t>
  </si>
  <si>
    <t>pendek</t>
  </si>
  <si>
    <t>a</t>
  </si>
  <si>
    <t>b</t>
  </si>
  <si>
    <t>c</t>
  </si>
  <si>
    <t>d</t>
  </si>
  <si>
    <t>parms</t>
  </si>
  <si>
    <t>BMI</t>
  </si>
  <si>
    <t>Berat</t>
  </si>
  <si>
    <t>TINGGI</t>
  </si>
  <si>
    <t>ringan</t>
  </si>
  <si>
    <t>normal</t>
  </si>
  <si>
    <t>z</t>
  </si>
  <si>
    <t>sangat kurus</t>
  </si>
  <si>
    <t>kurus</t>
  </si>
  <si>
    <t>obesitas</t>
  </si>
  <si>
    <t>a * z</t>
  </si>
  <si>
    <t>total</t>
  </si>
  <si>
    <t>Data dari Metode Tsukamoto</t>
  </si>
  <si>
    <t>di isi nilai max</t>
  </si>
  <si>
    <t>hasilnya</t>
  </si>
  <si>
    <t>hasil dari metode sugeno</t>
  </si>
  <si>
    <t>BERAT</t>
  </si>
  <si>
    <t>Tabel BMI Sugeno</t>
  </si>
  <si>
    <t>hasil</t>
  </si>
  <si>
    <t>tahap inferensi menentukan nilai MIN(jika menggunakan operasi and)</t>
  </si>
  <si>
    <t>mengambil nilai max dari nilai BMI di atas</t>
  </si>
  <si>
    <t xml:space="preserve">ini hasil dari methode tsukamoto </t>
  </si>
  <si>
    <t>Rendah</t>
  </si>
  <si>
    <t>Kering</t>
  </si>
  <si>
    <t>Basah</t>
  </si>
  <si>
    <t>Sedang</t>
  </si>
  <si>
    <t>Parameter</t>
  </si>
  <si>
    <t>TABEL SUHU</t>
  </si>
  <si>
    <t>TABEL KELEMBAPAM</t>
  </si>
  <si>
    <t>TABEL WAKTU PENYIRAMAN METODE SUGENO</t>
  </si>
  <si>
    <t>Sangat Cepat</t>
  </si>
  <si>
    <t>Cepat</t>
  </si>
  <si>
    <t>Lama</t>
  </si>
  <si>
    <t>Kelembapan</t>
  </si>
  <si>
    <t>Suhu</t>
  </si>
  <si>
    <t>Durasi</t>
  </si>
  <si>
    <t>TInggi</t>
  </si>
  <si>
    <t>Lembap</t>
  </si>
  <si>
    <t>Min</t>
  </si>
  <si>
    <t>isi max</t>
  </si>
  <si>
    <t>TOTAL</t>
  </si>
  <si>
    <t>HASIL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</si>
</sst>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0" fontId="0" fillId="8" borderId="1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8" borderId="1" xfId="0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</xdr:row>
      <xdr:rowOff>0</xdr:rowOff>
    </xdr:from>
    <xdr:to>
      <xdr:col>9</xdr:col>
      <xdr:colOff>289560</xdr:colOff>
      <xdr:row>21</xdr:row>
      <xdr:rowOff>39794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88C16DC-EB19-5ECF-4FB8-0C931EEC3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914400"/>
          <a:ext cx="5166360" cy="2965874"/>
        </a:xfrm>
        <a:prstGeom prst="rect">
          <a:avLst/>
        </a:prstGeom>
      </xdr:spPr>
    </xdr:pic>
    <xdr:clientData/>
  </xdr:twoCellAnchor>
  <xdr:twoCellAnchor editAs="oneCell">
    <xdr:from>
      <xdr:col>0</xdr:col>
      <xdr:colOff>213360</xdr:colOff>
      <xdr:row>22</xdr:row>
      <xdr:rowOff>15241</xdr:rowOff>
    </xdr:from>
    <xdr:to>
      <xdr:col>9</xdr:col>
      <xdr:colOff>403860</xdr:colOff>
      <xdr:row>37</xdr:row>
      <xdr:rowOff>176501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39EE182-96E4-0F7B-2461-C25DD4F43B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3360" y="4038601"/>
          <a:ext cx="5676900" cy="29044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7D01A-6742-4E68-B1B3-5A080CE3E5D2}">
  <sheetPr codeName="Sheet4"/>
  <dimension ref="G3:V32"/>
  <sheetViews>
    <sheetView zoomScale="70" zoomScaleNormal="70" workbookViewId="0">
      <selection activeCell="N38" sqref="N38"/>
    </sheetView>
  </sheetViews>
  <sheetFormatPr defaultRowHeight="14.4" x14ac:dyDescent="0.3"/>
  <cols>
    <col min="7" max="8" width="14.21875" customWidth="1"/>
    <col min="9" max="9" width="13.77734375" customWidth="1"/>
    <col min="10" max="10" width="29.5546875" customWidth="1"/>
    <col min="18" max="18" width="13.109375" customWidth="1"/>
  </cols>
  <sheetData>
    <row r="3" spans="7:21" x14ac:dyDescent="0.3">
      <c r="R3" s="2" t="s">
        <v>11</v>
      </c>
      <c r="S3" s="2"/>
      <c r="T3" s="2"/>
      <c r="U3" s="2"/>
    </row>
    <row r="4" spans="7:21" x14ac:dyDescent="0.3">
      <c r="G4" s="5" t="s">
        <v>0</v>
      </c>
      <c r="H4" s="5" t="s">
        <v>3</v>
      </c>
      <c r="I4" s="5" t="s">
        <v>13</v>
      </c>
      <c r="J4" s="5" t="s">
        <v>2</v>
      </c>
      <c r="L4" s="5" t="s">
        <v>10</v>
      </c>
      <c r="M4" s="5" t="s">
        <v>12</v>
      </c>
      <c r="N4" s="5" t="s">
        <v>13</v>
      </c>
      <c r="O4" s="5" t="s">
        <v>1</v>
      </c>
      <c r="R4" s="6" t="s">
        <v>8</v>
      </c>
      <c r="S4" s="6" t="s">
        <v>3</v>
      </c>
      <c r="T4" s="6" t="s">
        <v>13</v>
      </c>
      <c r="U4" s="6" t="s">
        <v>2</v>
      </c>
    </row>
    <row r="5" spans="7:21" x14ac:dyDescent="0.3">
      <c r="G5" s="9">
        <v>171</v>
      </c>
      <c r="H5" s="3">
        <f>LinearTurun(S5,S6,G5)</f>
        <v>0</v>
      </c>
      <c r="I5" s="3">
        <f>Segitiga(T5,T6,T7,G5)</f>
        <v>0.4</v>
      </c>
      <c r="J5" s="3">
        <f>LinearNaik(U5,U6,G5)</f>
        <v>0.73333333333333328</v>
      </c>
      <c r="L5" s="9">
        <v>60</v>
      </c>
      <c r="M5" s="3">
        <f>LinearTurun(S13,S14,L5)</f>
        <v>0</v>
      </c>
      <c r="N5" s="3">
        <f>Segitiga(T13,T14,T15,L5)</f>
        <v>0.5</v>
      </c>
      <c r="O5" s="3">
        <f>LinearNaik(U13,U14,L5)</f>
        <v>0.25</v>
      </c>
      <c r="R5" s="2" t="s">
        <v>4</v>
      </c>
      <c r="S5" s="2">
        <v>160</v>
      </c>
      <c r="T5" s="2">
        <v>150</v>
      </c>
      <c r="U5" s="2">
        <v>160</v>
      </c>
    </row>
    <row r="6" spans="7:21" x14ac:dyDescent="0.3">
      <c r="R6" s="2" t="s">
        <v>5</v>
      </c>
      <c r="S6" s="2">
        <v>165</v>
      </c>
      <c r="T6" s="2">
        <v>165</v>
      </c>
      <c r="U6" s="2">
        <v>175</v>
      </c>
    </row>
    <row r="7" spans="7:21" x14ac:dyDescent="0.3">
      <c r="R7" s="2" t="s">
        <v>6</v>
      </c>
      <c r="S7" s="2"/>
      <c r="T7" s="2">
        <v>175</v>
      </c>
      <c r="U7" s="2"/>
    </row>
    <row r="10" spans="7:21" x14ac:dyDescent="0.3">
      <c r="G10" s="5" t="s">
        <v>1</v>
      </c>
      <c r="H10" s="5" t="s">
        <v>2</v>
      </c>
      <c r="I10" s="5" t="s">
        <v>9</v>
      </c>
      <c r="J10" s="6" t="s">
        <v>4</v>
      </c>
      <c r="K10" s="12"/>
      <c r="L10" s="12"/>
    </row>
    <row r="11" spans="7:21" x14ac:dyDescent="0.3">
      <c r="G11" s="3" t="s">
        <v>12</v>
      </c>
      <c r="H11" s="3" t="s">
        <v>3</v>
      </c>
      <c r="I11" s="3" t="s">
        <v>13</v>
      </c>
      <c r="J11" s="2">
        <f>MIN(M5,H5)</f>
        <v>0</v>
      </c>
      <c r="K11" s="13"/>
      <c r="L11" s="13"/>
      <c r="R11" s="2" t="s">
        <v>24</v>
      </c>
      <c r="S11" s="2"/>
      <c r="T11" s="2"/>
      <c r="U11" s="2"/>
    </row>
    <row r="12" spans="7:21" x14ac:dyDescent="0.3">
      <c r="G12" s="3" t="s">
        <v>12</v>
      </c>
      <c r="H12" s="3" t="s">
        <v>13</v>
      </c>
      <c r="I12" s="3" t="s">
        <v>16</v>
      </c>
      <c r="J12" s="2">
        <f>MIN(M5,I5)</f>
        <v>0</v>
      </c>
      <c r="K12" s="13"/>
      <c r="L12" s="13"/>
      <c r="R12" s="6" t="s">
        <v>8</v>
      </c>
      <c r="S12" s="6" t="s">
        <v>12</v>
      </c>
      <c r="T12" s="6" t="s">
        <v>13</v>
      </c>
      <c r="U12" s="6" t="s">
        <v>1</v>
      </c>
    </row>
    <row r="13" spans="7:21" x14ac:dyDescent="0.3">
      <c r="G13" s="3" t="s">
        <v>12</v>
      </c>
      <c r="H13" s="3" t="s">
        <v>2</v>
      </c>
      <c r="I13" s="3" t="s">
        <v>15</v>
      </c>
      <c r="J13" s="2">
        <f>MIN(M5,J5)</f>
        <v>0</v>
      </c>
      <c r="K13" s="13"/>
      <c r="L13" s="13"/>
      <c r="R13" s="2" t="s">
        <v>4</v>
      </c>
      <c r="S13" s="2">
        <v>40</v>
      </c>
      <c r="T13" s="2">
        <v>45</v>
      </c>
      <c r="U13" s="2">
        <v>55</v>
      </c>
    </row>
    <row r="14" spans="7:21" x14ac:dyDescent="0.3">
      <c r="G14" s="3" t="s">
        <v>13</v>
      </c>
      <c r="H14" s="3" t="s">
        <v>3</v>
      </c>
      <c r="I14" s="3" t="s">
        <v>1</v>
      </c>
      <c r="J14" s="2">
        <f>MIN(N5,H5)</f>
        <v>0</v>
      </c>
      <c r="K14" s="13"/>
      <c r="L14" s="13"/>
      <c r="R14" s="2" t="s">
        <v>5</v>
      </c>
      <c r="S14" s="2">
        <v>55</v>
      </c>
      <c r="T14" s="2">
        <v>55</v>
      </c>
      <c r="U14" s="2">
        <v>75</v>
      </c>
    </row>
    <row r="15" spans="7:21" x14ac:dyDescent="0.3">
      <c r="G15" s="3" t="s">
        <v>13</v>
      </c>
      <c r="H15" s="3" t="s">
        <v>13</v>
      </c>
      <c r="I15" s="3" t="s">
        <v>13</v>
      </c>
      <c r="J15" s="2">
        <f>MIN(N5,I5)</f>
        <v>0.4</v>
      </c>
      <c r="K15" s="13"/>
      <c r="L15" s="13"/>
      <c r="R15" s="2" t="s">
        <v>6</v>
      </c>
      <c r="S15" s="2"/>
      <c r="T15" s="2">
        <v>65</v>
      </c>
      <c r="U15" s="2"/>
    </row>
    <row r="16" spans="7:21" x14ac:dyDescent="0.3">
      <c r="G16" s="3" t="s">
        <v>13</v>
      </c>
      <c r="H16" s="3" t="s">
        <v>2</v>
      </c>
      <c r="I16" s="3" t="s">
        <v>16</v>
      </c>
      <c r="J16" s="2">
        <f>MIN(N5,J5)</f>
        <v>0.5</v>
      </c>
      <c r="K16" s="13"/>
      <c r="L16" s="13"/>
    </row>
    <row r="17" spans="7:22" x14ac:dyDescent="0.3">
      <c r="G17" s="3" t="s">
        <v>1</v>
      </c>
      <c r="H17" s="3" t="s">
        <v>3</v>
      </c>
      <c r="I17" s="3" t="s">
        <v>17</v>
      </c>
      <c r="J17" s="2">
        <f>MIN(O5,H5)</f>
        <v>0</v>
      </c>
      <c r="K17" s="13"/>
      <c r="L17" s="13"/>
    </row>
    <row r="18" spans="7:22" x14ac:dyDescent="0.3">
      <c r="G18" s="3" t="s">
        <v>10</v>
      </c>
      <c r="H18" s="3" t="s">
        <v>13</v>
      </c>
      <c r="I18" s="3" t="s">
        <v>1</v>
      </c>
      <c r="J18" s="2">
        <f>MIN(O5,I5)</f>
        <v>0.25</v>
      </c>
      <c r="K18" s="13"/>
      <c r="L18" s="13"/>
    </row>
    <row r="19" spans="7:22" x14ac:dyDescent="0.3">
      <c r="G19" s="3" t="s">
        <v>1</v>
      </c>
      <c r="H19" s="3" t="s">
        <v>2</v>
      </c>
      <c r="I19" s="3" t="s">
        <v>13</v>
      </c>
      <c r="J19" s="2">
        <f>MIN(O5,J5)</f>
        <v>0.25</v>
      </c>
      <c r="K19" s="13"/>
      <c r="L19" s="13"/>
      <c r="R19" t="s">
        <v>9</v>
      </c>
    </row>
    <row r="20" spans="7:22" x14ac:dyDescent="0.3">
      <c r="G20" s="22" t="s">
        <v>27</v>
      </c>
      <c r="H20" s="22"/>
      <c r="I20" s="22"/>
      <c r="J20" s="22"/>
      <c r="K20" s="13"/>
      <c r="L20" s="13"/>
      <c r="Q20" s="5" t="s">
        <v>8</v>
      </c>
      <c r="R20" s="5" t="s">
        <v>15</v>
      </c>
      <c r="S20" s="5" t="s">
        <v>16</v>
      </c>
      <c r="T20" s="5" t="s">
        <v>13</v>
      </c>
      <c r="U20" s="5" t="s">
        <v>1</v>
      </c>
      <c r="V20" s="5" t="s">
        <v>17</v>
      </c>
    </row>
    <row r="21" spans="7:22" x14ac:dyDescent="0.3">
      <c r="G21" s="22"/>
      <c r="H21" s="22"/>
      <c r="I21" s="22"/>
      <c r="J21" s="22"/>
      <c r="K21" s="13"/>
      <c r="L21" s="13"/>
      <c r="Q21" s="3" t="s">
        <v>4</v>
      </c>
      <c r="R21" s="3">
        <v>16</v>
      </c>
      <c r="S21" s="3">
        <v>16</v>
      </c>
      <c r="T21" s="3">
        <v>17</v>
      </c>
      <c r="U21" s="3">
        <v>24</v>
      </c>
      <c r="V21" s="3">
        <v>26</v>
      </c>
    </row>
    <row r="22" spans="7:22" ht="27" customHeight="1" x14ac:dyDescent="0.3">
      <c r="Q22" s="3" t="s">
        <v>5</v>
      </c>
      <c r="R22" s="3">
        <v>17</v>
      </c>
      <c r="S22" s="3">
        <v>17</v>
      </c>
      <c r="T22" s="3">
        <v>18.5</v>
      </c>
      <c r="U22" s="3">
        <v>25</v>
      </c>
      <c r="V22" s="3">
        <v>27</v>
      </c>
    </row>
    <row r="23" spans="7:22" x14ac:dyDescent="0.3">
      <c r="G23" s="22" t="s">
        <v>28</v>
      </c>
      <c r="H23" s="22"/>
      <c r="I23" s="22"/>
      <c r="J23" s="22"/>
      <c r="Q23" s="3" t="s">
        <v>6</v>
      </c>
      <c r="R23" s="3"/>
      <c r="S23" s="3">
        <v>18.5</v>
      </c>
      <c r="T23" s="3">
        <v>24</v>
      </c>
      <c r="U23" s="3">
        <v>26</v>
      </c>
      <c r="V23" s="3"/>
    </row>
    <row r="24" spans="7:22" x14ac:dyDescent="0.3">
      <c r="G24" s="6" t="s">
        <v>21</v>
      </c>
      <c r="H24" s="6" t="s">
        <v>4</v>
      </c>
      <c r="I24" s="6" t="s">
        <v>14</v>
      </c>
      <c r="J24" s="6" t="s">
        <v>18</v>
      </c>
      <c r="Q24" s="3" t="s">
        <v>7</v>
      </c>
      <c r="R24" s="3"/>
      <c r="S24" s="3"/>
      <c r="T24" s="3">
        <v>25</v>
      </c>
      <c r="U24" s="3">
        <v>27</v>
      </c>
      <c r="V24" s="3"/>
    </row>
    <row r="25" spans="7:22" x14ac:dyDescent="0.3">
      <c r="G25" s="6" t="s">
        <v>15</v>
      </c>
      <c r="H25" s="2">
        <v>0</v>
      </c>
      <c r="I25" s="2">
        <f>((R22-R21)*H25 - 17) * -1</f>
        <v>17</v>
      </c>
      <c r="J25" s="2">
        <f>H25*I25</f>
        <v>0</v>
      </c>
    </row>
    <row r="26" spans="7:22" x14ac:dyDescent="0.3">
      <c r="G26" s="6" t="s">
        <v>16</v>
      </c>
      <c r="H26" s="2">
        <v>0.5</v>
      </c>
      <c r="I26" s="2">
        <f>((S23-S22) *H26 - 18.5) * -1</f>
        <v>17.75</v>
      </c>
      <c r="J26" s="2">
        <f t="shared" ref="J26:J29" si="0">H26*I26</f>
        <v>8.875</v>
      </c>
    </row>
    <row r="27" spans="7:22" x14ac:dyDescent="0.3">
      <c r="G27" s="6" t="s">
        <v>13</v>
      </c>
      <c r="H27" s="2">
        <v>0.4</v>
      </c>
      <c r="I27" s="2">
        <f>((T24-T23)* H27 -25) * -1</f>
        <v>24.6</v>
      </c>
      <c r="J27" s="2">
        <f t="shared" si="0"/>
        <v>9.8400000000000016</v>
      </c>
    </row>
    <row r="28" spans="7:22" x14ac:dyDescent="0.3">
      <c r="G28" s="6" t="s">
        <v>1</v>
      </c>
      <c r="H28" s="2">
        <v>0.25</v>
      </c>
      <c r="I28" s="2">
        <f>((U24-U23) * H28 - 27) * -1</f>
        <v>26.75</v>
      </c>
      <c r="J28" s="2">
        <f t="shared" si="0"/>
        <v>6.6875</v>
      </c>
    </row>
    <row r="29" spans="7:22" x14ac:dyDescent="0.3">
      <c r="G29" s="6" t="s">
        <v>17</v>
      </c>
      <c r="H29" s="2">
        <v>0</v>
      </c>
      <c r="I29" s="2">
        <f>((V22-V21) *H29 - 27) * -1</f>
        <v>27</v>
      </c>
      <c r="J29" s="2">
        <f t="shared" si="0"/>
        <v>0</v>
      </c>
    </row>
    <row r="30" spans="7:22" x14ac:dyDescent="0.3">
      <c r="G30" s="6" t="s">
        <v>19</v>
      </c>
      <c r="H30" s="8">
        <f>SUM(H25:H29)</f>
        <v>1.1499999999999999</v>
      </c>
      <c r="I30" s="10"/>
      <c r="J30" s="8">
        <f>SUM(J25:K29)</f>
        <v>25.402500000000003</v>
      </c>
    </row>
    <row r="32" spans="7:22" x14ac:dyDescent="0.3">
      <c r="G32" s="5" t="s">
        <v>26</v>
      </c>
      <c r="H32" s="11">
        <f>J30/H30</f>
        <v>22.089130434782614</v>
      </c>
      <c r="J32" s="1" t="s">
        <v>29</v>
      </c>
    </row>
  </sheetData>
  <mergeCells count="2">
    <mergeCell ref="G23:J23"/>
    <mergeCell ref="G20:J2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3C912-86D5-4A5F-BAA3-173DB7035988}">
  <sheetPr codeName="Sheet1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AE1E9-D4CB-43AD-A670-6FE6A6CAFE89}">
  <sheetPr codeName="Sheet5"/>
  <dimension ref="G6:K30"/>
  <sheetViews>
    <sheetView zoomScale="85" zoomScaleNormal="85" workbookViewId="0">
      <selection activeCell="Q29" sqref="Q29"/>
    </sheetView>
  </sheetViews>
  <sheetFormatPr defaultRowHeight="14.4" x14ac:dyDescent="0.3"/>
  <cols>
    <col min="6" max="6" width="12.6640625" customWidth="1"/>
    <col min="7" max="7" width="13" customWidth="1"/>
    <col min="8" max="8" width="25.21875" customWidth="1"/>
  </cols>
  <sheetData>
    <row r="6" spans="7:10" x14ac:dyDescent="0.3">
      <c r="G6" t="s">
        <v>20</v>
      </c>
    </row>
    <row r="7" spans="7:10" x14ac:dyDescent="0.3">
      <c r="G7" s="5" t="s">
        <v>1</v>
      </c>
      <c r="H7" s="5" t="s">
        <v>2</v>
      </c>
      <c r="I7" s="5" t="s">
        <v>9</v>
      </c>
      <c r="J7" s="5" t="s">
        <v>4</v>
      </c>
    </row>
    <row r="8" spans="7:10" x14ac:dyDescent="0.3">
      <c r="G8" s="3" t="s">
        <v>12</v>
      </c>
      <c r="H8" s="3" t="s">
        <v>3</v>
      </c>
      <c r="I8" s="3" t="s">
        <v>13</v>
      </c>
      <c r="J8" s="4">
        <v>0</v>
      </c>
    </row>
    <row r="9" spans="7:10" x14ac:dyDescent="0.3">
      <c r="G9" s="3" t="s">
        <v>12</v>
      </c>
      <c r="H9" s="3" t="s">
        <v>13</v>
      </c>
      <c r="I9" s="3" t="s">
        <v>16</v>
      </c>
      <c r="J9" s="4">
        <v>0</v>
      </c>
    </row>
    <row r="10" spans="7:10" x14ac:dyDescent="0.3">
      <c r="G10" s="3" t="s">
        <v>12</v>
      </c>
      <c r="H10" s="3" t="s">
        <v>2</v>
      </c>
      <c r="I10" s="3" t="s">
        <v>15</v>
      </c>
      <c r="J10" s="4">
        <v>0</v>
      </c>
    </row>
    <row r="11" spans="7:10" x14ac:dyDescent="0.3">
      <c r="G11" s="3" t="s">
        <v>13</v>
      </c>
      <c r="H11" s="3" t="s">
        <v>3</v>
      </c>
      <c r="I11" s="3" t="s">
        <v>1</v>
      </c>
      <c r="J11" s="4">
        <v>0</v>
      </c>
    </row>
    <row r="12" spans="7:10" x14ac:dyDescent="0.3">
      <c r="G12" s="3" t="s">
        <v>13</v>
      </c>
      <c r="H12" s="3" t="s">
        <v>13</v>
      </c>
      <c r="I12" s="3" t="s">
        <v>13</v>
      </c>
      <c r="J12" s="4">
        <v>0.4</v>
      </c>
    </row>
    <row r="13" spans="7:10" x14ac:dyDescent="0.3">
      <c r="G13" s="3" t="s">
        <v>13</v>
      </c>
      <c r="H13" s="3" t="s">
        <v>2</v>
      </c>
      <c r="I13" s="3" t="s">
        <v>16</v>
      </c>
      <c r="J13" s="4">
        <v>0.5</v>
      </c>
    </row>
    <row r="14" spans="7:10" x14ac:dyDescent="0.3">
      <c r="G14" s="3" t="s">
        <v>1</v>
      </c>
      <c r="H14" s="3" t="s">
        <v>3</v>
      </c>
      <c r="I14" s="3" t="s">
        <v>17</v>
      </c>
      <c r="J14" s="4">
        <v>0</v>
      </c>
    </row>
    <row r="15" spans="7:10" x14ac:dyDescent="0.3">
      <c r="G15" s="3" t="s">
        <v>10</v>
      </c>
      <c r="H15" s="3" t="s">
        <v>13</v>
      </c>
      <c r="I15" s="3" t="s">
        <v>1</v>
      </c>
      <c r="J15" s="4">
        <v>0.25</v>
      </c>
    </row>
    <row r="16" spans="7:10" x14ac:dyDescent="0.3">
      <c r="G16" s="3" t="s">
        <v>1</v>
      </c>
      <c r="H16" s="3" t="s">
        <v>2</v>
      </c>
      <c r="I16" s="3" t="s">
        <v>13</v>
      </c>
      <c r="J16" s="4">
        <v>0.25</v>
      </c>
    </row>
    <row r="18" spans="7:11" x14ac:dyDescent="0.3">
      <c r="G18" s="7" t="s">
        <v>25</v>
      </c>
    </row>
    <row r="19" spans="7:11" x14ac:dyDescent="0.3">
      <c r="G19" s="5" t="s">
        <v>15</v>
      </c>
      <c r="H19" s="5" t="s">
        <v>16</v>
      </c>
      <c r="I19" s="5" t="s">
        <v>13</v>
      </c>
      <c r="J19" s="5" t="s">
        <v>1</v>
      </c>
      <c r="K19" s="5" t="s">
        <v>17</v>
      </c>
    </row>
    <row r="20" spans="7:11" x14ac:dyDescent="0.3">
      <c r="G20" s="4">
        <v>16</v>
      </c>
      <c r="H20" s="4">
        <v>18.5</v>
      </c>
      <c r="I20" s="4">
        <v>23</v>
      </c>
      <c r="J20" s="4">
        <v>24</v>
      </c>
      <c r="K20" s="4">
        <v>25</v>
      </c>
    </row>
    <row r="22" spans="7:11" x14ac:dyDescent="0.3">
      <c r="G22" t="s">
        <v>23</v>
      </c>
    </row>
    <row r="23" spans="7:11" x14ac:dyDescent="0.3">
      <c r="G23" s="6" t="s">
        <v>21</v>
      </c>
      <c r="H23" s="6" t="s">
        <v>4</v>
      </c>
      <c r="I23" s="6" t="s">
        <v>18</v>
      </c>
    </row>
    <row r="24" spans="7:11" x14ac:dyDescent="0.3">
      <c r="G24" s="6" t="s">
        <v>15</v>
      </c>
      <c r="H24" s="2">
        <v>0</v>
      </c>
      <c r="I24" s="2">
        <v>0</v>
      </c>
    </row>
    <row r="25" spans="7:11" x14ac:dyDescent="0.3">
      <c r="G25" s="6" t="s">
        <v>16</v>
      </c>
      <c r="H25" s="2">
        <v>0.5</v>
      </c>
      <c r="I25" s="2">
        <f>H25*H20</f>
        <v>9.25</v>
      </c>
    </row>
    <row r="26" spans="7:11" x14ac:dyDescent="0.3">
      <c r="G26" s="6" t="s">
        <v>13</v>
      </c>
      <c r="H26" s="2">
        <v>0.4</v>
      </c>
      <c r="I26" s="2">
        <f>H26*I20</f>
        <v>9.2000000000000011</v>
      </c>
    </row>
    <row r="27" spans="7:11" x14ac:dyDescent="0.3">
      <c r="G27" s="6" t="s">
        <v>1</v>
      </c>
      <c r="H27" s="2">
        <v>0.25</v>
      </c>
      <c r="I27" s="2">
        <f>H27*J20</f>
        <v>6</v>
      </c>
    </row>
    <row r="28" spans="7:11" x14ac:dyDescent="0.3">
      <c r="G28" s="6" t="s">
        <v>17</v>
      </c>
      <c r="H28" s="2">
        <v>0</v>
      </c>
      <c r="I28" s="2">
        <v>0</v>
      </c>
    </row>
    <row r="29" spans="7:11" x14ac:dyDescent="0.3">
      <c r="G29" s="6" t="s">
        <v>19</v>
      </c>
      <c r="H29" s="8">
        <f>SUM(H24:H28)</f>
        <v>1.1499999999999999</v>
      </c>
      <c r="I29" s="8">
        <f>SUM(I25:I27)</f>
        <v>24.450000000000003</v>
      </c>
    </row>
    <row r="30" spans="7:11" x14ac:dyDescent="0.3">
      <c r="G30" s="6" t="s">
        <v>22</v>
      </c>
      <c r="H30" s="8"/>
      <c r="I30" s="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61B82-65A9-4DC7-998C-B997C2650394}">
  <sheetPr codeName="Sheet3"/>
  <dimension ref="A1"/>
  <sheetViews>
    <sheetView topLeftCell="A7" zoomScale="85" zoomScaleNormal="85" workbookViewId="0">
      <selection activeCell="K16" sqref="K16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C6F7E-ACF0-47B6-81FF-F58AB6618837}">
  <sheetPr codeName="Sheet2"/>
  <dimension ref="K3:V27"/>
  <sheetViews>
    <sheetView tabSelected="1" topLeftCell="G1" zoomScale="85" zoomScaleNormal="85" workbookViewId="0">
      <selection activeCell="M27" sqref="M27"/>
    </sheetView>
  </sheetViews>
  <sheetFormatPr defaultRowHeight="14.4" x14ac:dyDescent="0.3"/>
  <cols>
    <col min="10" max="10" width="13.88671875" customWidth="1"/>
    <col min="11" max="11" width="13.5546875" customWidth="1"/>
    <col min="12" max="12" width="12.109375" customWidth="1"/>
    <col min="13" max="13" width="13.44140625" customWidth="1"/>
    <col min="18" max="18" width="5.77734375" customWidth="1"/>
    <col min="19" max="19" width="12.88671875" customWidth="1"/>
    <col min="22" max="22" width="14.77734375" customWidth="1"/>
  </cols>
  <sheetData>
    <row r="3" spans="11:22" x14ac:dyDescent="0.3">
      <c r="K3" s="14" t="s">
        <v>42</v>
      </c>
      <c r="L3" s="14" t="s">
        <v>30</v>
      </c>
      <c r="M3" s="14" t="s">
        <v>33</v>
      </c>
      <c r="N3" s="14" t="s">
        <v>0</v>
      </c>
    </row>
    <row r="4" spans="11:22" x14ac:dyDescent="0.3">
      <c r="K4" s="3">
        <v>25</v>
      </c>
      <c r="L4" s="3">
        <f>LinearTurun(K4,T15,T16)</f>
        <v>0</v>
      </c>
      <c r="M4" s="3">
        <f>Trapesium(U15,U16,U17,U18,K4)</f>
        <v>1</v>
      </c>
      <c r="N4" s="3">
        <f>LinearNaik(V15,V16,K4)</f>
        <v>0</v>
      </c>
    </row>
    <row r="5" spans="11:22" x14ac:dyDescent="0.3">
      <c r="K5" s="14" t="s">
        <v>41</v>
      </c>
      <c r="L5" s="14" t="s">
        <v>31</v>
      </c>
      <c r="M5" s="14" t="s">
        <v>45</v>
      </c>
      <c r="N5" s="14" t="s">
        <v>32</v>
      </c>
    </row>
    <row r="6" spans="11:22" x14ac:dyDescent="0.3">
      <c r="K6" s="3">
        <v>60</v>
      </c>
      <c r="L6" s="3">
        <f>LinearTurun(T8,T9,K6)</f>
        <v>0</v>
      </c>
      <c r="M6" s="3">
        <f>Trapesium(U8,U9,U10,U11,K6)</f>
        <v>0</v>
      </c>
      <c r="N6" s="3">
        <f>LinearNaik(V8,V9,K6)</f>
        <v>1</v>
      </c>
      <c r="S6" s="23" t="s">
        <v>36</v>
      </c>
      <c r="T6" s="23"/>
      <c r="U6" s="23"/>
      <c r="V6" s="23"/>
    </row>
    <row r="7" spans="11:22" x14ac:dyDescent="0.3">
      <c r="S7" s="14" t="s">
        <v>34</v>
      </c>
      <c r="T7" s="14" t="s">
        <v>31</v>
      </c>
      <c r="U7" s="14" t="s">
        <v>45</v>
      </c>
      <c r="V7" s="14" t="s">
        <v>32</v>
      </c>
    </row>
    <row r="8" spans="11:22" x14ac:dyDescent="0.3">
      <c r="S8" s="3" t="s">
        <v>4</v>
      </c>
      <c r="T8" s="3">
        <v>35</v>
      </c>
      <c r="U8" s="3">
        <v>35</v>
      </c>
      <c r="V8" s="3">
        <v>50</v>
      </c>
    </row>
    <row r="9" spans="11:22" x14ac:dyDescent="0.3">
      <c r="K9" s="14" t="s">
        <v>42</v>
      </c>
      <c r="L9" s="14" t="s">
        <v>41</v>
      </c>
      <c r="M9" s="14" t="s">
        <v>43</v>
      </c>
      <c r="N9" s="14" t="s">
        <v>46</v>
      </c>
      <c r="S9" s="3" t="s">
        <v>5</v>
      </c>
      <c r="T9" s="3">
        <v>40</v>
      </c>
      <c r="U9" s="3">
        <v>40</v>
      </c>
      <c r="V9" s="3">
        <v>60</v>
      </c>
    </row>
    <row r="10" spans="11:22" x14ac:dyDescent="0.3">
      <c r="K10" s="3" t="s">
        <v>0</v>
      </c>
      <c r="L10" s="3" t="s">
        <v>32</v>
      </c>
      <c r="M10" s="3" t="s">
        <v>39</v>
      </c>
      <c r="N10" s="4">
        <f>MIN(N4,N6)</f>
        <v>0</v>
      </c>
      <c r="S10" s="3" t="s">
        <v>6</v>
      </c>
      <c r="T10" s="3"/>
      <c r="U10" s="3">
        <v>50</v>
      </c>
      <c r="V10" s="3"/>
    </row>
    <row r="11" spans="11:22" x14ac:dyDescent="0.3">
      <c r="K11" s="3" t="s">
        <v>0</v>
      </c>
      <c r="L11" s="3" t="s">
        <v>45</v>
      </c>
      <c r="M11" s="3" t="s">
        <v>33</v>
      </c>
      <c r="N11" s="4">
        <f>MIN(N4,M6)</f>
        <v>0</v>
      </c>
      <c r="S11" s="3" t="s">
        <v>7</v>
      </c>
      <c r="T11" s="3"/>
      <c r="U11" s="3">
        <v>60</v>
      </c>
      <c r="V11" s="3"/>
    </row>
    <row r="12" spans="11:22" x14ac:dyDescent="0.3">
      <c r="K12" s="3" t="s">
        <v>44</v>
      </c>
      <c r="L12" s="3" t="s">
        <v>31</v>
      </c>
      <c r="M12" s="3" t="s">
        <v>40</v>
      </c>
      <c r="N12" s="4">
        <f>MIN(N4,L6)</f>
        <v>0</v>
      </c>
      <c r="S12" s="17"/>
    </row>
    <row r="13" spans="11:22" x14ac:dyDescent="0.3">
      <c r="K13" s="3" t="s">
        <v>33</v>
      </c>
      <c r="L13" s="3" t="s">
        <v>32</v>
      </c>
      <c r="M13" s="3" t="s">
        <v>38</v>
      </c>
      <c r="N13" s="4">
        <f>MIN(M4,N6)</f>
        <v>1</v>
      </c>
      <c r="S13" s="23" t="s">
        <v>35</v>
      </c>
      <c r="T13" s="23"/>
      <c r="U13" s="23"/>
      <c r="V13" s="23"/>
    </row>
    <row r="14" spans="11:22" x14ac:dyDescent="0.3">
      <c r="K14" s="3" t="s">
        <v>33</v>
      </c>
      <c r="L14" s="3" t="s">
        <v>45</v>
      </c>
      <c r="M14" s="3" t="s">
        <v>33</v>
      </c>
      <c r="N14" s="4">
        <f>MIN(M4,M6)</f>
        <v>0</v>
      </c>
      <c r="S14" s="14" t="s">
        <v>34</v>
      </c>
      <c r="T14" s="15" t="s">
        <v>30</v>
      </c>
      <c r="U14" s="14" t="s">
        <v>33</v>
      </c>
      <c r="V14" s="14" t="s">
        <v>0</v>
      </c>
    </row>
    <row r="15" spans="11:22" x14ac:dyDescent="0.3">
      <c r="K15" s="3" t="s">
        <v>33</v>
      </c>
      <c r="L15" s="3" t="s">
        <v>31</v>
      </c>
      <c r="M15" s="3" t="s">
        <v>40</v>
      </c>
      <c r="N15" s="4">
        <f>MIN(M4,L6)</f>
        <v>0</v>
      </c>
      <c r="S15" s="3" t="s">
        <v>4</v>
      </c>
      <c r="T15" s="16">
        <v>20</v>
      </c>
      <c r="U15" s="3">
        <v>20</v>
      </c>
      <c r="V15" s="3">
        <v>30</v>
      </c>
    </row>
    <row r="16" spans="11:22" x14ac:dyDescent="0.3">
      <c r="K16" s="3" t="s">
        <v>30</v>
      </c>
      <c r="L16" s="3" t="s">
        <v>32</v>
      </c>
      <c r="M16" s="3" t="s">
        <v>38</v>
      </c>
      <c r="N16" s="4">
        <f>MIN(L4,N6)</f>
        <v>0</v>
      </c>
      <c r="S16" s="3" t="s">
        <v>5</v>
      </c>
      <c r="T16" s="16">
        <v>25</v>
      </c>
      <c r="U16" s="3">
        <v>25</v>
      </c>
      <c r="V16" s="3">
        <v>35</v>
      </c>
    </row>
    <row r="17" spans="11:22" x14ac:dyDescent="0.3">
      <c r="K17" s="3" t="s">
        <v>30</v>
      </c>
      <c r="L17" s="3" t="s">
        <v>45</v>
      </c>
      <c r="M17" s="3" t="s">
        <v>39</v>
      </c>
      <c r="N17" s="4">
        <f>MIN(L4,M6)</f>
        <v>0</v>
      </c>
      <c r="S17" s="3" t="s">
        <v>6</v>
      </c>
      <c r="T17" s="16"/>
      <c r="U17" s="3">
        <v>30</v>
      </c>
      <c r="V17" s="3"/>
    </row>
    <row r="18" spans="11:22" x14ac:dyDescent="0.3">
      <c r="K18" s="3" t="s">
        <v>30</v>
      </c>
      <c r="L18" s="3" t="s">
        <v>31</v>
      </c>
      <c r="M18" s="3" t="s">
        <v>33</v>
      </c>
      <c r="N18" s="4">
        <f>MIN(L4,L6)</f>
        <v>0</v>
      </c>
      <c r="S18" s="3" t="s">
        <v>7</v>
      </c>
      <c r="T18" s="16"/>
      <c r="U18" s="3">
        <v>35</v>
      </c>
      <c r="V18" s="3"/>
    </row>
    <row r="20" spans="11:22" x14ac:dyDescent="0.3">
      <c r="S20" s="24"/>
      <c r="T20" s="24"/>
      <c r="U20" s="24"/>
      <c r="V20" s="24"/>
    </row>
    <row r="21" spans="11:22" x14ac:dyDescent="0.3">
      <c r="K21" s="14" t="s">
        <v>47</v>
      </c>
      <c r="L21" s="14" t="s">
        <v>4</v>
      </c>
      <c r="M21" s="14" t="s">
        <v>18</v>
      </c>
      <c r="S21" s="25" t="s">
        <v>37</v>
      </c>
      <c r="T21" s="25"/>
      <c r="U21" s="25"/>
      <c r="V21" s="25"/>
    </row>
    <row r="22" spans="11:22" x14ac:dyDescent="0.3">
      <c r="K22" s="3" t="s">
        <v>38</v>
      </c>
      <c r="L22" s="3">
        <f>MAX(N13,N17)</f>
        <v>1</v>
      </c>
      <c r="M22" s="3">
        <f>L22*S23</f>
        <v>5</v>
      </c>
      <c r="S22" s="18" t="s">
        <v>38</v>
      </c>
      <c r="T22" s="18" t="s">
        <v>39</v>
      </c>
      <c r="U22" s="18" t="s">
        <v>33</v>
      </c>
      <c r="V22" s="18" t="s">
        <v>40</v>
      </c>
    </row>
    <row r="23" spans="11:22" x14ac:dyDescent="0.3">
      <c r="K23" s="3" t="s">
        <v>39</v>
      </c>
      <c r="L23" s="3">
        <f>MAX(N17,N10)</f>
        <v>0</v>
      </c>
      <c r="M23" s="3">
        <f>L23*T23</f>
        <v>0</v>
      </c>
      <c r="S23" s="2">
        <v>5</v>
      </c>
      <c r="T23" s="2">
        <v>10</v>
      </c>
      <c r="U23" s="2">
        <v>15</v>
      </c>
      <c r="V23" s="2">
        <v>20</v>
      </c>
    </row>
    <row r="24" spans="11:22" x14ac:dyDescent="0.3">
      <c r="K24" s="3" t="s">
        <v>33</v>
      </c>
      <c r="L24" s="3">
        <f>MAX(N18,N14,N11)</f>
        <v>0</v>
      </c>
      <c r="M24" s="3">
        <f>L24*U23</f>
        <v>0</v>
      </c>
    </row>
    <row r="25" spans="11:22" x14ac:dyDescent="0.3">
      <c r="K25" s="3" t="s">
        <v>40</v>
      </c>
      <c r="L25" s="3">
        <f>MAX(N15,N12)</f>
        <v>0</v>
      </c>
      <c r="M25" s="3">
        <f>L25*V23</f>
        <v>0</v>
      </c>
    </row>
    <row r="26" spans="11:22" x14ac:dyDescent="0.3">
      <c r="K26" s="19" t="s">
        <v>48</v>
      </c>
      <c r="L26" s="20">
        <f>SUM(L22:L24)</f>
        <v>1</v>
      </c>
      <c r="M26" s="20">
        <f>SUM(M22:M25)</f>
        <v>5</v>
      </c>
    </row>
    <row r="27" spans="11:22" x14ac:dyDescent="0.3">
      <c r="K27" s="21" t="s">
        <v>49</v>
      </c>
      <c r="L27" s="21"/>
      <c r="M27" s="21">
        <f>M26/L26</f>
        <v>5</v>
      </c>
    </row>
  </sheetData>
  <mergeCells count="4">
    <mergeCell ref="S6:V6"/>
    <mergeCell ref="S13:V13"/>
    <mergeCell ref="S20:V20"/>
    <mergeCell ref="S21:V2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Metode Tsukamoto</vt:lpstr>
      <vt:lpstr>Sheet1</vt:lpstr>
      <vt:lpstr>Metode Sugeno</vt:lpstr>
      <vt:lpstr>Grafik Kurva</vt:lpstr>
      <vt:lpstr>Metode Tsukamoto dan Sugeno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andri efendy</dc:creator>
  <cp:lastModifiedBy>andri efendy</cp:lastModifiedBy>
  <dcterms:created xsi:type="dcterms:W3CDTF">2023-10-30T16:20:57Z</dcterms:created>
  <dcterms:modified xsi:type="dcterms:W3CDTF">2023-11-29T06:36:28Z</dcterms:modified>
</cp:coreProperties>
</file>